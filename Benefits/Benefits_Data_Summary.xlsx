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GlobalSolarNet\NC Revision R1\Zenodo_V3\Benefits\"/>
    </mc:Choice>
  </mc:AlternateContent>
  <xr:revisionPtr revIDLastSave="0" documentId="13_ncr:1_{D257A88A-3063-47F6-B6A0-DBC6CB95651F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EnergyInequality" sheetId="1" r:id="rId1"/>
    <sheet name="Pressure" sheetId="8" r:id="rId2"/>
    <sheet name="EnergyExchange-R" sheetId="5" r:id="rId3"/>
    <sheet name="EnergyExchange-R40" sheetId="6" r:id="rId4"/>
    <sheet name="EnergyExchange-R30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<sst xmlns="http://schemas.openxmlformats.org/spreadsheetml/2006/main" count="35" uniqueCount="31">
  <si>
    <t>COUNTRY</t>
  </si>
  <si>
    <t>ID</t>
  </si>
  <si>
    <t>Grid_id</t>
  </si>
  <si>
    <t>EAsia</t>
  </si>
  <si>
    <t>SAsia</t>
  </si>
  <si>
    <t>SEAsia</t>
  </si>
  <si>
    <t>CAsia</t>
  </si>
  <si>
    <t>WAsia</t>
  </si>
  <si>
    <t>NEurope</t>
  </si>
  <si>
    <t>WEurope</t>
  </si>
  <si>
    <t>SEurope</t>
  </si>
  <si>
    <t>EEurope</t>
  </si>
  <si>
    <t>NAfrica</t>
  </si>
  <si>
    <t>WAfrica</t>
  </si>
  <si>
    <t>MAfrica</t>
  </si>
  <si>
    <t>EAfrica</t>
  </si>
  <si>
    <t>SAfrica</t>
  </si>
  <si>
    <t>NewAustralia</t>
  </si>
  <si>
    <t>Melanesia</t>
  </si>
  <si>
    <t>NAmerica</t>
  </si>
  <si>
    <t>CAmerica</t>
  </si>
  <si>
    <t>Caribbean</t>
  </si>
  <si>
    <t>SAmerica</t>
  </si>
  <si>
    <t>SG</t>
    <phoneticPr fontId="1" type="noConversion"/>
  </si>
  <si>
    <t>SC</t>
    <phoneticPr fontId="1" type="noConversion"/>
  </si>
  <si>
    <t>SN</t>
    <phoneticPr fontId="1" type="noConversion"/>
  </si>
  <si>
    <t>SI</t>
    <phoneticPr fontId="1" type="noConversion"/>
  </si>
  <si>
    <t>Pop50</t>
    <phoneticPr fontId="1" type="noConversion"/>
  </si>
  <si>
    <t>id</t>
    <phoneticPr fontId="1" type="noConversion"/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</si>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</sst>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K6" sqref="K6"/>
    </sheetView>
  </sheetViews>
  <sheetFormatPr defaultColWidth="9" defaultRowHeight="14" x14ac:dyDescent="0.25"/>
  <sheetData>
    <row r="1" spans="1:12" x14ac:dyDescent="0.25">
      <c r="A1" t="s">
        <v>0</v>
      </c>
      <c r="B1" t="s">
        <v>1</v>
      </c>
      <c r="C1" t="s">
        <v>2</v>
      </c>
      <c r="D1" s="1" t="s">
        <v>27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 x14ac:dyDescent="0.25">
      <c r="A2" t="s">
        <v>3</v>
      </c>
      <c r="B2">
        <v>4</v>
      </c>
      <c r="C2">
        <v>11</v>
      </c>
      <c r="D2">
        <v>1423.4498000000001</v>
      </c>
      <c r="E2">
        <v>10652.449297778499</v>
      </c>
      <c r="F2">
        <v>12009.227283801099</v>
      </c>
      <c r="G2">
        <v>7819.5596330256703</v>
      </c>
      <c r="H2">
        <v>7623.1410023089902</v>
      </c>
      <c r="I2">
        <f t="shared" ref="I2:I21" si="0">E2/D2</f>
        <v>7.4835440616019611</v>
      </c>
      <c r="J2">
        <f t="shared" ref="J2:J21" si="1">F2/D2</f>
        <v>8.4367058703447775</v>
      </c>
      <c r="K2">
        <f>G2/D2</f>
        <v>5.4933863020850255</v>
      </c>
      <c r="L2">
        <f t="shared" ref="L2:L21" si="2">H2/D2</f>
        <v>5.3553985551924557</v>
      </c>
    </row>
    <row r="3" spans="1:12" x14ac:dyDescent="0.25">
      <c r="A3" t="s">
        <v>4</v>
      </c>
      <c r="B3">
        <v>15</v>
      </c>
      <c r="C3">
        <v>12</v>
      </c>
      <c r="D3">
        <v>2407.4146059999998</v>
      </c>
      <c r="E3">
        <v>11362.987016397499</v>
      </c>
      <c r="F3">
        <v>8341.5550011224295</v>
      </c>
      <c r="G3">
        <v>7486.9031759658701</v>
      </c>
      <c r="H3">
        <v>5399.0192112289797</v>
      </c>
      <c r="I3">
        <f t="shared" si="0"/>
        <v>4.7199958777675954</v>
      </c>
      <c r="J3">
        <f t="shared" si="1"/>
        <v>3.4649432550308412</v>
      </c>
      <c r="K3">
        <f t="shared" ref="K3:K21" si="3">G3/D3</f>
        <v>3.1099350968903572</v>
      </c>
      <c r="L3">
        <f t="shared" si="2"/>
        <v>2.2426628125346597</v>
      </c>
    </row>
    <row r="4" spans="1:12" x14ac:dyDescent="0.25">
      <c r="A4" t="s">
        <v>5</v>
      </c>
      <c r="B4">
        <v>16</v>
      </c>
      <c r="C4">
        <v>13</v>
      </c>
      <c r="D4">
        <v>719.15634699999998</v>
      </c>
      <c r="E4">
        <v>3263.68650097205</v>
      </c>
      <c r="F4">
        <v>2776.0423350482902</v>
      </c>
      <c r="G4">
        <v>2382.5140759607202</v>
      </c>
      <c r="H4">
        <v>741.79139033435899</v>
      </c>
      <c r="I4">
        <f t="shared" si="0"/>
        <v>4.5382155279400598</v>
      </c>
      <c r="J4">
        <f t="shared" si="1"/>
        <v>3.8601374327414373</v>
      </c>
      <c r="K4">
        <f t="shared" si="3"/>
        <v>3.3129292203281078</v>
      </c>
      <c r="L4">
        <f t="shared" si="2"/>
        <v>1.0314744400557436</v>
      </c>
    </row>
    <row r="5" spans="1:12" x14ac:dyDescent="0.25">
      <c r="A5" t="s">
        <v>6</v>
      </c>
      <c r="B5">
        <v>2</v>
      </c>
      <c r="C5">
        <v>14</v>
      </c>
      <c r="D5">
        <v>72.209159</v>
      </c>
      <c r="E5">
        <v>715.49171638652604</v>
      </c>
      <c r="F5">
        <v>717.85632689141096</v>
      </c>
      <c r="G5">
        <v>720.75824364947698</v>
      </c>
      <c r="H5">
        <v>720.75824364947698</v>
      </c>
      <c r="I5">
        <f t="shared" si="0"/>
        <v>9.9086006026815241</v>
      </c>
      <c r="J5">
        <f t="shared" si="1"/>
        <v>9.9413472865874386</v>
      </c>
      <c r="K5">
        <f t="shared" si="3"/>
        <v>9.9815349414258794</v>
      </c>
      <c r="L5">
        <f t="shared" si="2"/>
        <v>9.9815349414258794</v>
      </c>
    </row>
    <row r="6" spans="1:12" x14ac:dyDescent="0.25">
      <c r="A6" t="s">
        <v>7</v>
      </c>
      <c r="B6">
        <v>19</v>
      </c>
      <c r="C6">
        <v>15</v>
      </c>
      <c r="D6">
        <v>490.46978200000001</v>
      </c>
      <c r="E6">
        <v>2808.81941861719</v>
      </c>
      <c r="F6">
        <v>2543.3439423063801</v>
      </c>
      <c r="G6">
        <v>2457.7859605589101</v>
      </c>
      <c r="H6">
        <v>2523.4356926665901</v>
      </c>
      <c r="I6">
        <f t="shared" si="0"/>
        <v>5.7267940282958962</v>
      </c>
      <c r="J6">
        <f t="shared" si="1"/>
        <v>5.1855262763290479</v>
      </c>
      <c r="K6">
        <f t="shared" si="3"/>
        <v>5.0110853935521558</v>
      </c>
      <c r="L6">
        <f t="shared" si="2"/>
        <v>5.1449361107971177</v>
      </c>
    </row>
    <row r="7" spans="1:12" x14ac:dyDescent="0.25">
      <c r="A7" t="s">
        <v>8</v>
      </c>
      <c r="B7">
        <v>10</v>
      </c>
      <c r="C7">
        <v>21</v>
      </c>
      <c r="D7">
        <v>120.117232</v>
      </c>
      <c r="E7">
        <v>1302.5534682023999</v>
      </c>
      <c r="F7">
        <v>1292.91026429881</v>
      </c>
      <c r="G7">
        <v>1231.87338294643</v>
      </c>
      <c r="H7">
        <v>669.12541221700803</v>
      </c>
      <c r="I7">
        <f t="shared" si="0"/>
        <v>10.844018352024628</v>
      </c>
      <c r="J7">
        <f t="shared" si="1"/>
        <v>10.763736749268498</v>
      </c>
      <c r="K7">
        <f t="shared" si="3"/>
        <v>10.255592494392728</v>
      </c>
      <c r="L7">
        <f t="shared" si="2"/>
        <v>5.5706029940567401</v>
      </c>
    </row>
    <row r="8" spans="1:12" x14ac:dyDescent="0.25">
      <c r="A8" t="s">
        <v>9</v>
      </c>
      <c r="B8">
        <v>20</v>
      </c>
      <c r="C8">
        <v>22</v>
      </c>
      <c r="D8">
        <v>205.28594100000001</v>
      </c>
      <c r="E8">
        <v>1825.65729636582</v>
      </c>
      <c r="F8">
        <v>1818.74878110292</v>
      </c>
      <c r="G8">
        <v>1211.0739259509301</v>
      </c>
      <c r="H8">
        <v>935.74057641574802</v>
      </c>
      <c r="I8">
        <f t="shared" si="0"/>
        <v>8.8932407522530728</v>
      </c>
      <c r="J8">
        <f t="shared" si="1"/>
        <v>8.8595876183402158</v>
      </c>
      <c r="K8">
        <f t="shared" si="3"/>
        <v>5.8994489347467294</v>
      </c>
      <c r="L8">
        <f t="shared" si="2"/>
        <v>4.5582302025044568</v>
      </c>
    </row>
    <row r="9" spans="1:12" x14ac:dyDescent="0.25">
      <c r="A9" t="s">
        <v>10</v>
      </c>
      <c r="B9">
        <v>17</v>
      </c>
      <c r="C9">
        <v>23</v>
      </c>
      <c r="D9">
        <v>162.127667</v>
      </c>
      <c r="E9">
        <v>943.18836290256604</v>
      </c>
      <c r="F9">
        <v>726.11867578639396</v>
      </c>
      <c r="G9">
        <v>601.38443465112505</v>
      </c>
      <c r="H9">
        <v>388.56881746331197</v>
      </c>
      <c r="I9">
        <f t="shared" si="0"/>
        <v>5.8175657514554011</v>
      </c>
      <c r="J9">
        <f t="shared" si="1"/>
        <v>4.4786845405380067</v>
      </c>
      <c r="K9">
        <f t="shared" si="3"/>
        <v>3.7093263955443523</v>
      </c>
      <c r="L9">
        <f t="shared" si="2"/>
        <v>2.3966841974190127</v>
      </c>
    </row>
    <row r="10" spans="1:12" x14ac:dyDescent="0.25">
      <c r="A10" t="s">
        <v>11</v>
      </c>
      <c r="B10">
        <v>5</v>
      </c>
      <c r="C10">
        <v>24</v>
      </c>
      <c r="D10">
        <v>266.64962300000002</v>
      </c>
      <c r="E10">
        <v>2164.04456423805</v>
      </c>
      <c r="F10">
        <v>2154.7846199252999</v>
      </c>
      <c r="G10">
        <v>2156.8531994036598</v>
      </c>
      <c r="H10">
        <v>2060.0686921292099</v>
      </c>
      <c r="I10">
        <f t="shared" si="0"/>
        <v>8.1156858198072523</v>
      </c>
      <c r="J10">
        <f t="shared" si="1"/>
        <v>8.0809588091009594</v>
      </c>
      <c r="K10">
        <f t="shared" si="3"/>
        <v>8.0887164779665177</v>
      </c>
      <c r="L10">
        <f t="shared" si="2"/>
        <v>7.7257513772266231</v>
      </c>
    </row>
    <row r="11" spans="1:12" x14ac:dyDescent="0.25">
      <c r="A11" t="s">
        <v>12</v>
      </c>
      <c r="B11">
        <v>8</v>
      </c>
      <c r="C11">
        <v>31</v>
      </c>
      <c r="D11">
        <v>309.13225899999998</v>
      </c>
      <c r="E11">
        <v>2824.7798793511602</v>
      </c>
      <c r="F11">
        <v>2487.5108451169599</v>
      </c>
      <c r="G11">
        <v>2495.8047824901</v>
      </c>
      <c r="H11">
        <v>2626.2242804585999</v>
      </c>
      <c r="I11">
        <f t="shared" si="0"/>
        <v>9.1377712843328993</v>
      </c>
      <c r="J11">
        <f t="shared" si="1"/>
        <v>8.046752717311719</v>
      </c>
      <c r="K11">
        <f t="shared" si="3"/>
        <v>8.0735824548485571</v>
      </c>
      <c r="L11">
        <f t="shared" si="2"/>
        <v>8.495471449515076</v>
      </c>
    </row>
    <row r="12" spans="1:12" x14ac:dyDescent="0.25">
      <c r="A12" t="s">
        <v>13</v>
      </c>
      <c r="B12">
        <v>18</v>
      </c>
      <c r="C12">
        <v>32</v>
      </c>
      <c r="D12">
        <v>686.85024099999998</v>
      </c>
      <c r="E12">
        <v>4241.7828508017901</v>
      </c>
      <c r="F12">
        <v>3321.33258390017</v>
      </c>
      <c r="G12">
        <v>3167.8128103353602</v>
      </c>
      <c r="H12">
        <v>2948.3844256165999</v>
      </c>
      <c r="I12">
        <f t="shared" si="0"/>
        <v>6.1757026460762212</v>
      </c>
      <c r="J12">
        <f t="shared" si="1"/>
        <v>4.8355993572406275</v>
      </c>
      <c r="K12">
        <f t="shared" si="3"/>
        <v>4.6120866256424016</v>
      </c>
      <c r="L12">
        <f t="shared" si="2"/>
        <v>4.2926161332111983</v>
      </c>
    </row>
    <row r="13" spans="1:12" x14ac:dyDescent="0.25">
      <c r="A13" t="s">
        <v>14</v>
      </c>
      <c r="B13">
        <v>6</v>
      </c>
      <c r="C13">
        <v>33</v>
      </c>
      <c r="D13">
        <v>267.97185300000001</v>
      </c>
      <c r="E13">
        <v>848.20895635176805</v>
      </c>
      <c r="F13">
        <v>683.990899565738</v>
      </c>
      <c r="G13">
        <v>658.99319440722104</v>
      </c>
      <c r="H13">
        <v>685.68163583754199</v>
      </c>
      <c r="I13">
        <f t="shared" si="0"/>
        <v>3.1652912306120746</v>
      </c>
      <c r="J13">
        <f t="shared" si="1"/>
        <v>2.5524729254521294</v>
      </c>
      <c r="K13">
        <f t="shared" si="3"/>
        <v>2.4591881088616461</v>
      </c>
      <c r="L13">
        <f t="shared" si="2"/>
        <v>2.5587823055339398</v>
      </c>
    </row>
    <row r="14" spans="1:12" x14ac:dyDescent="0.25">
      <c r="A14" t="s">
        <v>15</v>
      </c>
      <c r="B14">
        <v>3</v>
      </c>
      <c r="C14">
        <v>34</v>
      </c>
      <c r="D14">
        <v>681.91419900000005</v>
      </c>
      <c r="E14">
        <v>4766.7575230638804</v>
      </c>
      <c r="F14">
        <v>3664.62989715086</v>
      </c>
      <c r="G14">
        <v>3615.0267436163599</v>
      </c>
      <c r="H14">
        <v>3371.5983971364499</v>
      </c>
      <c r="I14">
        <f t="shared" si="0"/>
        <v>6.9902599624031003</v>
      </c>
      <c r="J14">
        <f t="shared" si="1"/>
        <v>5.3740337164483352</v>
      </c>
      <c r="K14">
        <f t="shared" si="3"/>
        <v>5.3012926683703787</v>
      </c>
      <c r="L14">
        <f t="shared" si="2"/>
        <v>4.9443146983605333</v>
      </c>
    </row>
    <row r="15" spans="1:12" x14ac:dyDescent="0.25">
      <c r="A15" t="s">
        <v>16</v>
      </c>
      <c r="B15">
        <v>13</v>
      </c>
      <c r="C15">
        <v>35</v>
      </c>
      <c r="D15">
        <v>71.818149000000005</v>
      </c>
      <c r="E15">
        <v>559.80325153408501</v>
      </c>
      <c r="F15">
        <v>533.38000046337504</v>
      </c>
      <c r="G15">
        <v>534.06169407991297</v>
      </c>
      <c r="H15">
        <v>541.18241562892194</v>
      </c>
      <c r="I15">
        <f t="shared" si="0"/>
        <v>7.7947323807257263</v>
      </c>
      <c r="J15">
        <f t="shared" si="1"/>
        <v>7.426813526806086</v>
      </c>
      <c r="K15">
        <f t="shared" si="3"/>
        <v>7.4363054675763491</v>
      </c>
      <c r="L15">
        <f t="shared" si="2"/>
        <v>7.5354548002750938</v>
      </c>
    </row>
    <row r="16" spans="1:12" x14ac:dyDescent="0.25">
      <c r="A16" t="s">
        <v>17</v>
      </c>
      <c r="B16">
        <v>11</v>
      </c>
      <c r="C16">
        <v>41</v>
      </c>
      <c r="D16">
        <v>41.78302</v>
      </c>
      <c r="E16">
        <v>445.64041193718299</v>
      </c>
      <c r="F16">
        <v>447.71987860112398</v>
      </c>
      <c r="G16">
        <v>447.71987860112398</v>
      </c>
      <c r="H16">
        <v>447.71987860112398</v>
      </c>
      <c r="I16">
        <f t="shared" si="0"/>
        <v>10.665586449643492</v>
      </c>
      <c r="J16">
        <f t="shared" si="1"/>
        <v>10.715354672810246</v>
      </c>
      <c r="K16">
        <f t="shared" si="3"/>
        <v>10.715354672810246</v>
      </c>
      <c r="L16">
        <f t="shared" si="2"/>
        <v>10.715354672810246</v>
      </c>
    </row>
    <row r="17" spans="1:12" x14ac:dyDescent="0.25">
      <c r="A17" t="s">
        <v>18</v>
      </c>
      <c r="B17">
        <v>7</v>
      </c>
      <c r="C17">
        <v>42</v>
      </c>
      <c r="D17">
        <v>14.5512</v>
      </c>
      <c r="E17">
        <v>61.908642227241103</v>
      </c>
      <c r="F17">
        <v>53.246950973656098</v>
      </c>
      <c r="G17">
        <v>52.139153280484599</v>
      </c>
      <c r="H17">
        <v>15.1607399719139</v>
      </c>
      <c r="I17">
        <f t="shared" si="0"/>
        <v>4.2545386103717293</v>
      </c>
      <c r="J17">
        <f t="shared" si="1"/>
        <v>3.6592824628660248</v>
      </c>
      <c r="K17">
        <f t="shared" si="3"/>
        <v>3.583151443213247</v>
      </c>
      <c r="L17">
        <f t="shared" si="2"/>
        <v>1.0418893267850007</v>
      </c>
    </row>
    <row r="18" spans="1:12" x14ac:dyDescent="0.25">
      <c r="A18" t="s">
        <v>19</v>
      </c>
      <c r="B18">
        <v>9</v>
      </c>
      <c r="C18">
        <v>51</v>
      </c>
      <c r="D18">
        <v>447.98021299999999</v>
      </c>
      <c r="E18">
        <v>5422.0928237507596</v>
      </c>
      <c r="F18">
        <v>5380.9031651976502</v>
      </c>
      <c r="G18">
        <v>5744.8186896511397</v>
      </c>
      <c r="H18">
        <v>5754.4017701687999</v>
      </c>
      <c r="I18">
        <f t="shared" si="0"/>
        <v>12.103420344038186</v>
      </c>
      <c r="J18">
        <f t="shared" si="1"/>
        <v>12.011475080926511</v>
      </c>
      <c r="K18">
        <f t="shared" si="3"/>
        <v>12.823822398716391</v>
      </c>
      <c r="L18">
        <f t="shared" si="2"/>
        <v>12.845214148261499</v>
      </c>
    </row>
    <row r="19" spans="1:12" x14ac:dyDescent="0.25">
      <c r="A19" t="s">
        <v>20</v>
      </c>
      <c r="B19">
        <v>0</v>
      </c>
      <c r="C19">
        <v>52</v>
      </c>
      <c r="D19">
        <v>206.16465600000001</v>
      </c>
      <c r="E19">
        <v>1365.559041945</v>
      </c>
      <c r="F19">
        <v>1341.1667053695601</v>
      </c>
      <c r="G19">
        <v>1296.99595311338</v>
      </c>
      <c r="H19">
        <v>1165.6526882364899</v>
      </c>
      <c r="I19">
        <f t="shared" si="0"/>
        <v>6.623633111705626</v>
      </c>
      <c r="J19">
        <f t="shared" si="1"/>
        <v>6.5053182800138156</v>
      </c>
      <c r="K19">
        <f t="shared" si="3"/>
        <v>6.2910684026915842</v>
      </c>
      <c r="L19">
        <f t="shared" si="2"/>
        <v>5.6539889564605579</v>
      </c>
    </row>
    <row r="20" spans="1:12" x14ac:dyDescent="0.25">
      <c r="A20" t="s">
        <v>21</v>
      </c>
      <c r="B20">
        <v>1</v>
      </c>
      <c r="C20">
        <v>53</v>
      </c>
      <c r="D20">
        <v>42.676541999999998</v>
      </c>
      <c r="E20">
        <v>611.53148537247102</v>
      </c>
      <c r="F20">
        <v>471.53667108716201</v>
      </c>
      <c r="G20">
        <v>471.53667108716201</v>
      </c>
      <c r="H20">
        <v>161.56867105412201</v>
      </c>
      <c r="I20">
        <f t="shared" si="0"/>
        <v>14.32945259183537</v>
      </c>
      <c r="J20">
        <f t="shared" si="1"/>
        <v>11.04908338372781</v>
      </c>
      <c r="K20">
        <f t="shared" si="3"/>
        <v>11.04908338372781</v>
      </c>
      <c r="L20">
        <f t="shared" si="2"/>
        <v>3.7858894718818132</v>
      </c>
    </row>
    <row r="21" spans="1:12" x14ac:dyDescent="0.25">
      <c r="A21" t="s">
        <v>22</v>
      </c>
      <c r="B21">
        <v>14</v>
      </c>
      <c r="C21">
        <v>54</v>
      </c>
      <c r="D21">
        <v>481.88495499999999</v>
      </c>
      <c r="E21">
        <v>3952.86246077735</v>
      </c>
      <c r="F21">
        <v>4484.6232876696504</v>
      </c>
      <c r="G21">
        <v>4457.7087544041997</v>
      </c>
      <c r="H21">
        <v>4377.67644254277</v>
      </c>
      <c r="I21">
        <f t="shared" si="0"/>
        <v>8.2029173556110511</v>
      </c>
      <c r="J21">
        <f t="shared" si="1"/>
        <v>9.306418972282815</v>
      </c>
      <c r="K21">
        <f t="shared" si="3"/>
        <v>9.2505663606040578</v>
      </c>
      <c r="L21">
        <f t="shared" si="2"/>
        <v>9.0844845789858084</v>
      </c>
    </row>
  </sheetData>
  <sortState xmlns:xlrd2="http://schemas.microsoft.com/office/spreadsheetml/2017/richdata2" ref="A2:L21">
    <sortCondition ref="C2:C2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9F68-9101-4FCF-9B1E-BA416B3174E8}">
  <dimension ref="A1:C21"/>
  <sheetViews>
    <sheetView tabSelected="1" workbookViewId="0">
      <selection activeCell="F19" sqref="F19"/>
    </sheetView>
  </sheetViews>
  <sheetFormatPr defaultRowHeight="14" x14ac:dyDescent="0.25"/>
  <cols>
    <col min="3" max="3" width="9.6328125" customWidth="1"/>
  </cols>
  <sheetData>
    <row r="1" spans="1:3" x14ac:dyDescent="0.25">
      <c r="A1" s="1" t="s">
        <v>28</v>
      </c>
      <c r="B1" t="s">
        <v>29</v>
      </c>
      <c r="C1" t="s">
        <v>30</v>
      </c>
    </row>
    <row r="2" spans="1:3" x14ac:dyDescent="0.25">
      <c r="A2">
        <v>11</v>
      </c>
      <c r="B2">
        <v>1.6813695111684686E-2</v>
      </c>
      <c r="C2">
        <v>2.6049253354513038E-2</v>
      </c>
    </row>
    <row r="3" spans="1:3" x14ac:dyDescent="0.25">
      <c r="A3">
        <v>12</v>
      </c>
      <c r="B3">
        <v>3.8009129004331961E-2</v>
      </c>
      <c r="C3">
        <v>4.2062460243071066E-2</v>
      </c>
    </row>
    <row r="4" spans="1:3" x14ac:dyDescent="0.25">
      <c r="A4">
        <v>13</v>
      </c>
      <c r="B4">
        <v>2.8715914301992457E-2</v>
      </c>
      <c r="C4">
        <v>4.03646438222732E-2</v>
      </c>
    </row>
    <row r="5" spans="1:3" x14ac:dyDescent="0.25">
      <c r="A5">
        <v>14</v>
      </c>
      <c r="B5">
        <v>3.6878673138274372E-2</v>
      </c>
      <c r="C5">
        <v>6.9546177496039405E-2</v>
      </c>
    </row>
    <row r="6" spans="1:3" x14ac:dyDescent="0.25">
      <c r="A6">
        <v>15</v>
      </c>
      <c r="B6">
        <v>2.4345630859951835E-2</v>
      </c>
      <c r="C6">
        <v>2.7310737958410717E-2</v>
      </c>
    </row>
    <row r="7" spans="1:3" x14ac:dyDescent="0.25">
      <c r="A7">
        <v>21</v>
      </c>
      <c r="B7">
        <v>1.7448094951426865E-2</v>
      </c>
      <c r="C7">
        <v>3.4991603184993302E-2</v>
      </c>
    </row>
    <row r="8" spans="1:3" x14ac:dyDescent="0.25">
      <c r="A8">
        <v>22</v>
      </c>
      <c r="B8">
        <v>1.4966111195492885E-2</v>
      </c>
      <c r="C8">
        <v>1.5757459095835296E-2</v>
      </c>
    </row>
    <row r="9" spans="1:3" x14ac:dyDescent="0.25">
      <c r="A9">
        <v>23</v>
      </c>
      <c r="B9">
        <v>1.3714628250476786E-2</v>
      </c>
      <c r="C9">
        <v>2.33193612488788E-2</v>
      </c>
    </row>
    <row r="10" spans="1:3" x14ac:dyDescent="0.25">
      <c r="A10">
        <v>24</v>
      </c>
      <c r="B10">
        <v>2.6589883251374201E-2</v>
      </c>
      <c r="C10">
        <v>3.3606858602608237E-2</v>
      </c>
    </row>
    <row r="11" spans="1:3" x14ac:dyDescent="0.25">
      <c r="A11">
        <v>31</v>
      </c>
      <c r="B11">
        <v>4.4348163621377758E-2</v>
      </c>
      <c r="C11">
        <v>0.10293956217069501</v>
      </c>
    </row>
    <row r="12" spans="1:3" x14ac:dyDescent="0.25">
      <c r="A12">
        <v>32</v>
      </c>
      <c r="B12">
        <v>3.8628039560877701E-2</v>
      </c>
      <c r="C12">
        <v>6.8353396563853475E-2</v>
      </c>
    </row>
    <row r="13" spans="1:3" x14ac:dyDescent="0.25">
      <c r="A13">
        <v>33</v>
      </c>
      <c r="B13">
        <v>4.8414816036729917E-2</v>
      </c>
      <c r="C13">
        <v>8.0717332565188163E-2</v>
      </c>
    </row>
    <row r="14" spans="1:3" x14ac:dyDescent="0.25">
      <c r="A14">
        <v>34</v>
      </c>
      <c r="B14">
        <v>2.1346403854132001E-2</v>
      </c>
      <c r="C14">
        <v>7.4956727100921106E-2</v>
      </c>
    </row>
    <row r="15" spans="1:3" x14ac:dyDescent="0.25">
      <c r="A15">
        <v>35</v>
      </c>
      <c r="B15">
        <v>2.5459527752546011E-2</v>
      </c>
      <c r="C15">
        <v>5.1070470619916E-2</v>
      </c>
    </row>
    <row r="16" spans="1:3" x14ac:dyDescent="0.25">
      <c r="A16">
        <v>41</v>
      </c>
      <c r="B16">
        <v>1.5990827448820463E-2</v>
      </c>
      <c r="C16">
        <v>4.6033359351902711E-2</v>
      </c>
    </row>
    <row r="17" spans="1:3" x14ac:dyDescent="0.25">
      <c r="A17">
        <v>42</v>
      </c>
      <c r="B17">
        <v>4.6883707122362041E-2</v>
      </c>
      <c r="C17">
        <v>6.2195415954139299E-2</v>
      </c>
    </row>
    <row r="18" spans="1:3" x14ac:dyDescent="0.25">
      <c r="A18">
        <v>51</v>
      </c>
      <c r="B18">
        <v>1.5612598641322426E-2</v>
      </c>
      <c r="C18">
        <v>2.6052847627536353E-2</v>
      </c>
    </row>
    <row r="19" spans="1:3" x14ac:dyDescent="0.25">
      <c r="A19">
        <v>52</v>
      </c>
      <c r="B19">
        <v>2.5808561998003455E-2</v>
      </c>
      <c r="C19">
        <v>3.965948477957585E-2</v>
      </c>
    </row>
    <row r="20" spans="1:3" x14ac:dyDescent="0.25">
      <c r="A20">
        <v>53</v>
      </c>
      <c r="B20">
        <v>1.20785306262705E-2</v>
      </c>
      <c r="C20">
        <v>1.7156903816634636E-2</v>
      </c>
    </row>
    <row r="21" spans="1:3" x14ac:dyDescent="0.25">
      <c r="A21">
        <v>54</v>
      </c>
      <c r="B21">
        <v>3.0036774447713983E-2</v>
      </c>
      <c r="C21">
        <v>5.9960495788295098E-2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6409-CEA9-414D-AA1B-060FA627214D}">
  <dimension ref="A1:T20"/>
  <sheetViews>
    <sheetView workbookViewId="0">
      <selection activeCell="A5" sqref="A1:T20"/>
    </sheetView>
  </sheetViews>
  <sheetFormatPr defaultRowHeight="14" x14ac:dyDescent="0.25"/>
  <cols>
    <col min="1" max="3" width="11.6328125" bestFit="1" customWidth="1"/>
    <col min="4" max="4" width="9.453125" bestFit="1" customWidth="1"/>
    <col min="5" max="12" width="10.453125" bestFit="1" customWidth="1"/>
    <col min="13" max="13" width="11.6328125" bestFit="1" customWidth="1"/>
    <col min="14" max="16" width="9.453125" bestFit="1" customWidth="1"/>
    <col min="17" max="20" width="10.453125" bestFit="1" customWidth="1"/>
  </cols>
  <sheetData>
    <row r="1" spans="1:20" x14ac:dyDescent="0.25">
      <c r="A1" s="2">
        <v>0</v>
      </c>
      <c r="B1" s="2">
        <v>174.172575650857</v>
      </c>
      <c r="C1" s="2">
        <v>476.57096691545598</v>
      </c>
      <c r="D1" s="2">
        <v>5.5061438938073998E-2</v>
      </c>
      <c r="E1" s="2">
        <v>25.1365459272</v>
      </c>
      <c r="F1" s="2">
        <v>95.679455598342102</v>
      </c>
      <c r="G1" s="2">
        <v>157.53480279211999</v>
      </c>
      <c r="H1" s="2">
        <v>15.5574300037505</v>
      </c>
      <c r="I1" s="2">
        <v>2.6807799786753401</v>
      </c>
      <c r="J1" s="2">
        <v>35.130262737117498</v>
      </c>
      <c r="K1" s="2">
        <v>176.629780266013</v>
      </c>
      <c r="L1" s="2">
        <v>15.468884081357</v>
      </c>
      <c r="M1" s="2">
        <v>60.723261922366902</v>
      </c>
      <c r="N1" s="2">
        <v>1.0632034592775701</v>
      </c>
      <c r="O1" s="2">
        <v>7.6877720127593502E-2</v>
      </c>
      <c r="P1" s="2">
        <v>17.2149710279804</v>
      </c>
      <c r="Q1" s="2">
        <v>532.63009622445998</v>
      </c>
      <c r="R1" s="2">
        <v>307.92271062940102</v>
      </c>
      <c r="S1" s="2">
        <v>44.897562026565701</v>
      </c>
      <c r="T1" s="2">
        <v>302.498258317752</v>
      </c>
    </row>
    <row r="2" spans="1:20" x14ac:dyDescent="0.25">
      <c r="A2" s="2">
        <v>0</v>
      </c>
      <c r="B2" s="2">
        <v>0</v>
      </c>
      <c r="C2" s="2">
        <v>6.3251499381104304E-2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1.04264962230077</v>
      </c>
      <c r="Q2" s="2">
        <v>0.86369809240250806</v>
      </c>
      <c r="R2" s="2">
        <v>3.4169332903903902</v>
      </c>
      <c r="S2" s="2">
        <v>2.2756432572499201</v>
      </c>
      <c r="T2" s="2">
        <v>9.9679815763669506</v>
      </c>
    </row>
    <row r="3" spans="1:20" x14ac:dyDescent="0.25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 x14ac:dyDescent="0.25">
      <c r="A4" s="2">
        <v>325.76396549502402</v>
      </c>
      <c r="B4" s="2">
        <v>1420.70069326613</v>
      </c>
      <c r="C4" s="2">
        <v>1299.14563559219</v>
      </c>
      <c r="D4" s="2">
        <v>0</v>
      </c>
      <c r="E4" s="2">
        <v>14.1137405528379</v>
      </c>
      <c r="F4" s="2">
        <v>84.172401826609104</v>
      </c>
      <c r="G4" s="2">
        <v>207.98145474553701</v>
      </c>
      <c r="H4" s="2">
        <v>233.166610742458</v>
      </c>
      <c r="I4" s="2">
        <v>0.21764678685425301</v>
      </c>
      <c r="J4" s="2">
        <v>107.711817183967</v>
      </c>
      <c r="K4" s="2">
        <v>414.93455587374802</v>
      </c>
      <c r="L4" s="2">
        <v>3.7466468372510602</v>
      </c>
      <c r="M4" s="2">
        <v>145.03956976143101</v>
      </c>
      <c r="N4" s="2">
        <v>1.7752978722339399E-2</v>
      </c>
      <c r="O4" s="2">
        <v>1.9765276429016201</v>
      </c>
      <c r="P4" s="2">
        <v>9.7945368910084998</v>
      </c>
      <c r="Q4" s="2">
        <v>685.36676875172395</v>
      </c>
      <c r="R4" s="2">
        <v>12.580716921623701</v>
      </c>
      <c r="S4" s="2">
        <v>1.26057564665865</v>
      </c>
      <c r="T4" s="2">
        <v>221.53870828528599</v>
      </c>
    </row>
    <row r="5" spans="1:20" x14ac:dyDescent="0.25">
      <c r="A5" s="2">
        <v>333.59859202592298</v>
      </c>
      <c r="B5" s="2">
        <v>92.122619309953095</v>
      </c>
      <c r="C5" s="2">
        <v>158.65649289220701</v>
      </c>
      <c r="D5" s="2">
        <v>0.292964756579145</v>
      </c>
      <c r="E5" s="2">
        <v>0</v>
      </c>
      <c r="F5" s="2">
        <v>32.961107309954201</v>
      </c>
      <c r="G5" s="2">
        <v>20.220017886156299</v>
      </c>
      <c r="H5" s="2">
        <v>2.4558914332076101</v>
      </c>
      <c r="I5" s="2">
        <v>1.8349568681586099</v>
      </c>
      <c r="J5" s="2">
        <v>1.7629824748881899</v>
      </c>
      <c r="K5" s="2">
        <v>75.802023114306905</v>
      </c>
      <c r="L5" s="2">
        <v>6.9794415435970603</v>
      </c>
      <c r="M5" s="2">
        <v>2.2550087770716898</v>
      </c>
      <c r="N5" s="2">
        <v>1.1763197067622</v>
      </c>
      <c r="O5" s="2">
        <v>0.25292988578253001</v>
      </c>
      <c r="P5" s="2">
        <v>0.445561501640379</v>
      </c>
      <c r="Q5" s="2">
        <v>177.23363355448001</v>
      </c>
      <c r="R5" s="2">
        <v>50.264486712573401</v>
      </c>
      <c r="S5" s="2">
        <v>84.868259657995694</v>
      </c>
      <c r="T5" s="2">
        <v>515.07787731137103</v>
      </c>
    </row>
    <row r="6" spans="1:20" x14ac:dyDescent="0.25">
      <c r="A6" s="2">
        <v>1.4976640347945099E-2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x14ac:dyDescent="0.25">
      <c r="A7" s="2">
        <v>0.22057407463567</v>
      </c>
      <c r="B7" s="2">
        <v>12.6232734369729</v>
      </c>
      <c r="C7" s="2">
        <v>0</v>
      </c>
      <c r="D7" s="2">
        <v>0</v>
      </c>
      <c r="E7" s="2">
        <v>0</v>
      </c>
      <c r="F7" s="2">
        <v>6.3222018445457797</v>
      </c>
      <c r="G7" s="2">
        <v>0</v>
      </c>
      <c r="H7" s="2">
        <v>4.7680009815218796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3.5176458797350301</v>
      </c>
      <c r="R7" s="2">
        <v>0</v>
      </c>
      <c r="S7" s="2">
        <v>0</v>
      </c>
      <c r="T7" s="2">
        <v>0</v>
      </c>
    </row>
    <row r="8" spans="1:20" x14ac:dyDescent="0.25">
      <c r="A8" s="2">
        <v>1.6202200267819301E-2</v>
      </c>
      <c r="B8" s="2">
        <v>0.21448597288618401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6.8525794050297101E-2</v>
      </c>
      <c r="R8" s="2">
        <v>0</v>
      </c>
      <c r="S8" s="2">
        <v>0</v>
      </c>
      <c r="T8" s="2">
        <v>0</v>
      </c>
    </row>
    <row r="9" spans="1:20" x14ac:dyDescent="0.25">
      <c r="A9" s="2">
        <v>457.63632512220698</v>
      </c>
      <c r="B9" s="2">
        <v>635.51187623057501</v>
      </c>
      <c r="C9" s="2">
        <v>53.238324722029702</v>
      </c>
      <c r="D9" s="2">
        <v>0.17932673204859501</v>
      </c>
      <c r="E9" s="2">
        <v>0</v>
      </c>
      <c r="F9" s="2">
        <v>96.7741238468126</v>
      </c>
      <c r="G9" s="2">
        <v>66.349862674516899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 x14ac:dyDescent="0.25">
      <c r="A10" s="2">
        <v>1113.14419915752</v>
      </c>
      <c r="B10" s="2">
        <v>283.74977875768002</v>
      </c>
      <c r="C10" s="2">
        <v>231.21106841709499</v>
      </c>
      <c r="D10" s="2">
        <v>6.1664526842346301E-2</v>
      </c>
      <c r="E10" s="2">
        <v>0</v>
      </c>
      <c r="F10" s="2">
        <v>10.4003282083203</v>
      </c>
      <c r="G10" s="2">
        <v>0</v>
      </c>
      <c r="H10" s="2">
        <v>0</v>
      </c>
      <c r="I10" s="2">
        <v>0.48801969503418102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7.2923549882270304</v>
      </c>
      <c r="P10" s="2">
        <v>6.6388031506570604</v>
      </c>
      <c r="Q10" s="2">
        <v>272.17955863205498</v>
      </c>
      <c r="R10" s="2">
        <v>134.45341057628599</v>
      </c>
      <c r="S10" s="2">
        <v>72.217927502167299</v>
      </c>
      <c r="T10" s="2">
        <v>102.293930570919</v>
      </c>
    </row>
    <row r="11" spans="1:20" x14ac:dyDescent="0.25">
      <c r="A11" s="2">
        <v>276.92217730887103</v>
      </c>
      <c r="B11" s="2">
        <v>8.8650825230757597</v>
      </c>
      <c r="C11" s="2">
        <v>189.27545965126299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1.6762490906598799</v>
      </c>
      <c r="P11" s="2">
        <v>2.4836386951590201</v>
      </c>
      <c r="Q11" s="2">
        <v>0</v>
      </c>
      <c r="R11" s="2">
        <v>0.188179012504993</v>
      </c>
      <c r="S11" s="2">
        <v>12.3235102432249</v>
      </c>
      <c r="T11" s="2">
        <v>0</v>
      </c>
    </row>
    <row r="12" spans="1:20" x14ac:dyDescent="0.25">
      <c r="A12" s="2">
        <v>178.02338631741401</v>
      </c>
      <c r="B12" s="2">
        <v>5.4582768409931601</v>
      </c>
      <c r="C12" s="2">
        <v>141.104136209952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1.75081498137638</v>
      </c>
      <c r="P12" s="2">
        <v>2.3217376176196902</v>
      </c>
      <c r="Q12" s="2">
        <v>0</v>
      </c>
      <c r="R12" s="2">
        <v>3.2791455985551798</v>
      </c>
      <c r="S12" s="2">
        <v>2.0213390794067898</v>
      </c>
      <c r="T12" s="2">
        <v>5.1789378856871497</v>
      </c>
    </row>
    <row r="13" spans="1:20" x14ac:dyDescent="0.25">
      <c r="A13" s="2">
        <v>41.472266628748301</v>
      </c>
      <c r="B13" s="2">
        <v>0</v>
      </c>
      <c r="C13" s="2">
        <v>100.90675842970499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2.2780728358030999</v>
      </c>
      <c r="P13" s="2">
        <v>3.0569633657265198</v>
      </c>
      <c r="Q13" s="2">
        <v>0</v>
      </c>
      <c r="R13" s="2">
        <v>0</v>
      </c>
      <c r="S13" s="2">
        <v>0</v>
      </c>
      <c r="T13" s="2">
        <v>14.225630047585399</v>
      </c>
    </row>
    <row r="14" spans="1:20" x14ac:dyDescent="0.25">
      <c r="A14" s="2">
        <v>313.66046675660499</v>
      </c>
      <c r="B14" s="2">
        <v>5.3492802164726001</v>
      </c>
      <c r="C14" s="2">
        <v>290.29026478367501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1.08665999795589</v>
      </c>
      <c r="L14" s="2">
        <v>3.7655663740171601</v>
      </c>
      <c r="M14" s="2">
        <v>6.7716011344612206E-2</v>
      </c>
      <c r="N14" s="2">
        <v>0</v>
      </c>
      <c r="O14" s="2">
        <v>3.3593973623776701</v>
      </c>
      <c r="P14" s="2">
        <v>5.5689027888094698</v>
      </c>
      <c r="Q14" s="2">
        <v>0</v>
      </c>
      <c r="R14" s="2">
        <v>0</v>
      </c>
      <c r="S14" s="2">
        <v>6.8662359806343803E-2</v>
      </c>
      <c r="T14" s="2">
        <v>52.784280688865401</v>
      </c>
    </row>
    <row r="15" spans="1:20" x14ac:dyDescent="0.25">
      <c r="A15" s="2">
        <v>435.21459658625201</v>
      </c>
      <c r="B15" s="2">
        <v>598.51732349567999</v>
      </c>
      <c r="C15" s="2">
        <v>772.44759013571604</v>
      </c>
      <c r="D15" s="2">
        <v>0</v>
      </c>
      <c r="E15" s="2">
        <v>77.092301574763994</v>
      </c>
      <c r="F15" s="2">
        <v>21.3345111246112</v>
      </c>
      <c r="G15" s="2">
        <v>1.97595262144957</v>
      </c>
      <c r="H15" s="2">
        <v>63.3656762304186</v>
      </c>
      <c r="I15" s="2">
        <v>0</v>
      </c>
      <c r="J15" s="2">
        <v>108.845285258158</v>
      </c>
      <c r="K15" s="2">
        <v>234.05530031503599</v>
      </c>
      <c r="L15" s="2">
        <v>33.487703542025599</v>
      </c>
      <c r="M15" s="2">
        <v>186.522471733559</v>
      </c>
      <c r="N15" s="2">
        <v>5.0092930913003899</v>
      </c>
      <c r="O15" s="2">
        <v>0</v>
      </c>
      <c r="P15" s="2">
        <v>25.0895731905545</v>
      </c>
      <c r="Q15" s="2">
        <v>35.750955806241301</v>
      </c>
      <c r="R15" s="2">
        <v>239.29862070252301</v>
      </c>
      <c r="S15" s="2">
        <v>120.64218850916799</v>
      </c>
      <c r="T15" s="2">
        <v>0</v>
      </c>
    </row>
    <row r="16" spans="1:20" x14ac:dyDescent="0.25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 x14ac:dyDescent="0.25">
      <c r="A17" s="2">
        <v>1398.5800845076101</v>
      </c>
      <c r="B17" s="2">
        <v>0</v>
      </c>
      <c r="C17" s="2">
        <v>0</v>
      </c>
      <c r="D17" s="2">
        <v>68.768923035352998</v>
      </c>
      <c r="E17" s="2">
        <v>1368.7484122803201</v>
      </c>
      <c r="F17" s="2">
        <v>448.72461053909097</v>
      </c>
      <c r="G17" s="2">
        <v>705.50653173831802</v>
      </c>
      <c r="H17" s="2">
        <v>405.354198251951</v>
      </c>
      <c r="I17" s="2">
        <v>438.76211040368798</v>
      </c>
      <c r="J17" s="2">
        <v>859.85640676170397</v>
      </c>
      <c r="K17" s="2">
        <v>1911.3003875465099</v>
      </c>
      <c r="L17" s="2">
        <v>368.84750946415602</v>
      </c>
      <c r="M17" s="2">
        <v>2162.7312572372598</v>
      </c>
      <c r="N17" s="2">
        <v>0</v>
      </c>
      <c r="O17" s="2">
        <v>0</v>
      </c>
      <c r="P17" s="2">
        <v>0</v>
      </c>
      <c r="Q17" s="2">
        <v>0</v>
      </c>
      <c r="R17" s="2">
        <v>34.957699965956898</v>
      </c>
      <c r="S17" s="2">
        <v>286.135540159784</v>
      </c>
      <c r="T17" s="2">
        <v>127.826429981971</v>
      </c>
    </row>
    <row r="18" spans="1:20" x14ac:dyDescent="0.25">
      <c r="A18" s="2">
        <v>1095.2788399388701</v>
      </c>
      <c r="B18" s="2">
        <v>0.129623394723273</v>
      </c>
      <c r="C18" s="2">
        <v>0</v>
      </c>
      <c r="D18" s="2">
        <v>1.3769356050186099</v>
      </c>
      <c r="E18" s="2">
        <v>6.1672794380667701</v>
      </c>
      <c r="F18" s="2">
        <v>0</v>
      </c>
      <c r="G18" s="2">
        <v>0</v>
      </c>
      <c r="H18" s="2">
        <v>0</v>
      </c>
      <c r="I18" s="2">
        <v>0.35782579010273702</v>
      </c>
      <c r="J18" s="2">
        <v>0</v>
      </c>
      <c r="K18" s="2">
        <v>16.769030951154999</v>
      </c>
      <c r="L18" s="2">
        <v>3.0932186074981098</v>
      </c>
      <c r="M18" s="2">
        <v>368.809299767624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3.2062983381724499</v>
      </c>
      <c r="T18" s="2">
        <v>90.803233111420894</v>
      </c>
    </row>
    <row r="19" spans="1:20" x14ac:dyDescent="0.25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</row>
    <row r="20" spans="1:20" x14ac:dyDescent="0.25">
      <c r="A20" s="2">
        <v>1114.7512971415799</v>
      </c>
      <c r="B20" s="2">
        <v>6552.7023988355404</v>
      </c>
      <c r="C20" s="2">
        <v>13.994010876967099</v>
      </c>
      <c r="D20" s="2">
        <v>6.6726786753360896</v>
      </c>
      <c r="E20" s="2">
        <v>39.4564887920396</v>
      </c>
      <c r="F20" s="2">
        <v>70.577535589693994</v>
      </c>
      <c r="G20" s="2">
        <v>79.147176191438405</v>
      </c>
      <c r="H20" s="2">
        <v>47.037176488071502</v>
      </c>
      <c r="I20" s="2">
        <v>25.8078722503835</v>
      </c>
      <c r="J20" s="2">
        <v>0</v>
      </c>
      <c r="K20" s="2">
        <v>2.45080143151768</v>
      </c>
      <c r="L20" s="2">
        <v>2.4898691509752799</v>
      </c>
      <c r="M20" s="2">
        <v>116.921735640469</v>
      </c>
      <c r="N20" s="2">
        <v>95.851171316269898</v>
      </c>
      <c r="O20" s="2">
        <v>0</v>
      </c>
      <c r="P20" s="2">
        <v>0</v>
      </c>
      <c r="Q20" s="2">
        <v>401.03593399044001</v>
      </c>
      <c r="R20" s="2">
        <v>219.79612082991599</v>
      </c>
      <c r="S20" s="2">
        <v>105.06624795739501</v>
      </c>
      <c r="T20" s="2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392C-5EF7-43FE-A46F-1119D555AA6A}">
  <dimension ref="A1:T20"/>
  <sheetViews>
    <sheetView workbookViewId="0">
      <selection sqref="A1:T20"/>
    </sheetView>
  </sheetViews>
  <sheetFormatPr defaultRowHeight="14" x14ac:dyDescent="0.25"/>
  <sheetData>
    <row r="1" spans="1:20" x14ac:dyDescent="0.25">
      <c r="A1">
        <v>0</v>
      </c>
      <c r="B1">
        <v>32.265204013461897</v>
      </c>
      <c r="C1">
        <v>236.688461221474</v>
      </c>
      <c r="D1">
        <v>0</v>
      </c>
      <c r="E1">
        <v>6.5962175749227301</v>
      </c>
      <c r="F1">
        <v>80.966513372777499</v>
      </c>
      <c r="G1">
        <v>144.44399056486401</v>
      </c>
      <c r="H1">
        <v>2.3339478278921102</v>
      </c>
      <c r="I1">
        <v>18.924222586115601</v>
      </c>
      <c r="J1">
        <v>0</v>
      </c>
      <c r="K1">
        <v>0</v>
      </c>
      <c r="L1">
        <v>0</v>
      </c>
      <c r="M1">
        <v>0</v>
      </c>
      <c r="N1">
        <v>0</v>
      </c>
      <c r="O1">
        <v>4.5987747540938697</v>
      </c>
      <c r="P1">
        <v>8.29192891460327</v>
      </c>
      <c r="Q1">
        <v>301.615868066887</v>
      </c>
      <c r="R1">
        <v>0</v>
      </c>
      <c r="S1">
        <v>0</v>
      </c>
      <c r="T1">
        <v>0</v>
      </c>
    </row>
    <row r="2" spans="1:20" x14ac:dyDescent="0.25">
      <c r="A2">
        <v>5.5656309342367898</v>
      </c>
      <c r="B2">
        <v>0</v>
      </c>
      <c r="C2">
        <v>13.708313481348799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5.0669296780312099</v>
      </c>
      <c r="P2">
        <v>2.6493376035785698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538.58708243917704</v>
      </c>
      <c r="B4">
        <v>699.62934204924898</v>
      </c>
      <c r="C4">
        <v>934.54816085655705</v>
      </c>
      <c r="D4">
        <v>0</v>
      </c>
      <c r="E4">
        <v>23.320356561514199</v>
      </c>
      <c r="F4">
        <v>98.665658907413402</v>
      </c>
      <c r="G4">
        <v>164.64898683539201</v>
      </c>
      <c r="H4">
        <v>240.821122550589</v>
      </c>
      <c r="I4">
        <v>16.002520198677601</v>
      </c>
      <c r="J4">
        <v>142.451454222677</v>
      </c>
      <c r="K4">
        <v>0</v>
      </c>
      <c r="L4">
        <v>0</v>
      </c>
      <c r="M4">
        <v>44.144006622130703</v>
      </c>
      <c r="N4">
        <v>0</v>
      </c>
      <c r="O4">
        <v>0</v>
      </c>
      <c r="P4">
        <v>0</v>
      </c>
      <c r="Q4">
        <v>769.53070195168505</v>
      </c>
      <c r="R4">
        <v>0</v>
      </c>
      <c r="S4">
        <v>0</v>
      </c>
      <c r="T4">
        <v>0</v>
      </c>
    </row>
    <row r="5" spans="1:20" x14ac:dyDescent="0.25">
      <c r="A5">
        <v>207.07394596251899</v>
      </c>
      <c r="B5">
        <v>147.48730025159</v>
      </c>
      <c r="C5">
        <v>128.91615550734301</v>
      </c>
      <c r="D5">
        <v>0</v>
      </c>
      <c r="E5">
        <v>0</v>
      </c>
      <c r="F5">
        <v>31.330452660431099</v>
      </c>
      <c r="G5">
        <v>115.04713435953001</v>
      </c>
      <c r="H5">
        <v>43.293519648388603</v>
      </c>
      <c r="I5">
        <v>2.3593457270352798</v>
      </c>
      <c r="J5">
        <v>1.26018561474962</v>
      </c>
      <c r="K5">
        <v>243.57177863385601</v>
      </c>
      <c r="L5">
        <v>6.8135736022351701</v>
      </c>
      <c r="M5">
        <v>0.66904081490985101</v>
      </c>
      <c r="N5">
        <v>6.0637028394241499</v>
      </c>
      <c r="O5">
        <v>0</v>
      </c>
      <c r="P5">
        <v>0</v>
      </c>
      <c r="Q5">
        <v>342.21301167198999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5.0105976207436197E-2</v>
      </c>
      <c r="G7">
        <v>0</v>
      </c>
      <c r="H7">
        <v>1.6989096778545201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293.60038609684898</v>
      </c>
      <c r="B9">
        <v>135.937371562359</v>
      </c>
      <c r="C9">
        <v>43.754116060613597</v>
      </c>
      <c r="D9">
        <v>0</v>
      </c>
      <c r="E9">
        <v>0</v>
      </c>
      <c r="F9">
        <v>124.51687311590101</v>
      </c>
      <c r="G9">
        <v>87.136712408307005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98.816280312635499</v>
      </c>
      <c r="C10">
        <v>0</v>
      </c>
      <c r="D10">
        <v>0</v>
      </c>
      <c r="E10">
        <v>37.6286437307391</v>
      </c>
      <c r="F10">
        <v>137.54060894949299</v>
      </c>
      <c r="G10">
        <v>54.4822543080451</v>
      </c>
      <c r="H10">
        <v>62.664298147397503</v>
      </c>
      <c r="I10">
        <v>1.73000341669724</v>
      </c>
      <c r="J10">
        <v>0</v>
      </c>
      <c r="K10">
        <v>0</v>
      </c>
      <c r="L10">
        <v>0.39597363493575599</v>
      </c>
      <c r="M10">
        <v>5.7485361558252404</v>
      </c>
      <c r="N10">
        <v>1.08682991730366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0</v>
      </c>
      <c r="C11">
        <v>0</v>
      </c>
      <c r="D11">
        <v>0</v>
      </c>
      <c r="E11">
        <v>23.8185518239323</v>
      </c>
      <c r="F11">
        <v>0</v>
      </c>
      <c r="G11">
        <v>2.82400583989679</v>
      </c>
      <c r="H11">
        <v>5.6128567446203697</v>
      </c>
      <c r="I11">
        <v>0</v>
      </c>
      <c r="J11">
        <v>2.0197915395026902</v>
      </c>
      <c r="K11">
        <v>0</v>
      </c>
      <c r="L11">
        <v>3.7492367645539</v>
      </c>
      <c r="M11">
        <v>58.465560612955102</v>
      </c>
      <c r="N11">
        <v>0.13951949009682199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0</v>
      </c>
      <c r="C12">
        <v>0</v>
      </c>
      <c r="D12">
        <v>0</v>
      </c>
      <c r="E12">
        <v>3.14210194071828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1.0968207296977599</v>
      </c>
      <c r="N12">
        <v>0.180616496839581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91.438945448462405</v>
      </c>
      <c r="C13">
        <v>0</v>
      </c>
      <c r="D13">
        <v>0.19387781398321399</v>
      </c>
      <c r="E13">
        <v>0</v>
      </c>
      <c r="F13">
        <v>0</v>
      </c>
      <c r="G13">
        <v>0</v>
      </c>
      <c r="H13">
        <v>0</v>
      </c>
      <c r="I13">
        <v>4.45602213062626</v>
      </c>
      <c r="J13">
        <v>0</v>
      </c>
      <c r="K13">
        <v>2.6782508868267398</v>
      </c>
      <c r="L13">
        <v>2.4938356177179801</v>
      </c>
      <c r="M13">
        <v>0</v>
      </c>
      <c r="N13">
        <v>1.03071657412079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</v>
      </c>
      <c r="C14">
        <v>0</v>
      </c>
      <c r="D14">
        <v>0</v>
      </c>
      <c r="E14">
        <v>4.3221234797889396</v>
      </c>
      <c r="F14">
        <v>0</v>
      </c>
      <c r="G14">
        <v>0</v>
      </c>
      <c r="H14">
        <v>0</v>
      </c>
      <c r="I14">
        <v>0</v>
      </c>
      <c r="J14">
        <v>0</v>
      </c>
      <c r="K14">
        <v>0.18567737096968301</v>
      </c>
      <c r="L14">
        <v>0</v>
      </c>
      <c r="M14">
        <v>4.4085448372646603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129.53589281744399</v>
      </c>
      <c r="B15">
        <v>152.15030174242401</v>
      </c>
      <c r="C15">
        <v>519.47679551912302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5.4851412829614397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4985.5550679161597</v>
      </c>
      <c r="B17">
        <v>0</v>
      </c>
      <c r="C17">
        <v>0</v>
      </c>
      <c r="D17">
        <v>108.43747076368901</v>
      </c>
      <c r="E17">
        <v>212.455426720411</v>
      </c>
      <c r="F17">
        <v>484.24292552872998</v>
      </c>
      <c r="G17">
        <v>822.08385230460397</v>
      </c>
      <c r="H17">
        <v>10.5086652516576</v>
      </c>
      <c r="I17">
        <v>717.41653102551402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49.96192521983</v>
      </c>
      <c r="S17">
        <v>214.768793256582</v>
      </c>
      <c r="T17">
        <v>432.52376224963598</v>
      </c>
    </row>
    <row r="18" spans="1:2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2.7468338194465099E-2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1.07545250178264</v>
      </c>
    </row>
    <row r="19" spans="1:2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96.198681946445603</v>
      </c>
      <c r="R20">
        <v>85.763761292854397</v>
      </c>
      <c r="S20">
        <v>44.539309016113698</v>
      </c>
      <c r="T20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3895-3776-4511-AB8A-6ED469EB5A49}">
  <dimension ref="A1:T20"/>
  <sheetViews>
    <sheetView workbookViewId="0">
      <selection sqref="A1:T20"/>
    </sheetView>
  </sheetViews>
  <sheetFormatPr defaultRowHeight="14" x14ac:dyDescent="0.25"/>
  <sheetData>
    <row r="1" spans="1:20" x14ac:dyDescent="0.25">
      <c r="A1">
        <v>0</v>
      </c>
      <c r="B1">
        <v>40.072237717262603</v>
      </c>
      <c r="C1">
        <v>308.30068842523201</v>
      </c>
      <c r="D1">
        <v>0</v>
      </c>
      <c r="E1">
        <v>0</v>
      </c>
      <c r="F1">
        <v>0</v>
      </c>
      <c r="G1">
        <v>0</v>
      </c>
      <c r="H1">
        <v>0</v>
      </c>
      <c r="I1">
        <v>14.639457773160199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115.180931615104</v>
      </c>
      <c r="B2">
        <v>0</v>
      </c>
      <c r="C2">
        <v>126.406627535265</v>
      </c>
      <c r="D2">
        <v>0</v>
      </c>
      <c r="E2">
        <v>1.22448579592836E-2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312.86751855615898</v>
      </c>
      <c r="B4">
        <v>118.920407937276</v>
      </c>
      <c r="C4">
        <v>0</v>
      </c>
      <c r="D4">
        <v>0</v>
      </c>
      <c r="E4">
        <v>11.687592690266699</v>
      </c>
      <c r="F4">
        <v>0</v>
      </c>
      <c r="G4">
        <v>0</v>
      </c>
      <c r="H4">
        <v>0</v>
      </c>
      <c r="I4">
        <v>18.0239964927638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19.110780499620802</v>
      </c>
      <c r="C5">
        <v>0</v>
      </c>
      <c r="D5">
        <v>3.97021418996601E-2</v>
      </c>
      <c r="E5">
        <v>0</v>
      </c>
      <c r="F5">
        <v>0</v>
      </c>
      <c r="G5">
        <v>0</v>
      </c>
      <c r="H5">
        <v>67.680357825012095</v>
      </c>
      <c r="I5">
        <v>1.63236303682496</v>
      </c>
      <c r="J5">
        <v>17.8186461622075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6.0862683553466601</v>
      </c>
      <c r="G7">
        <v>0</v>
      </c>
      <c r="H7">
        <v>7.06674893478091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0</v>
      </c>
      <c r="C8">
        <v>0</v>
      </c>
      <c r="D8">
        <v>0</v>
      </c>
      <c r="E8">
        <v>0.13692168742956701</v>
      </c>
      <c r="F8">
        <v>0</v>
      </c>
      <c r="G8">
        <v>1.89838933934206E-2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29.124831696918999</v>
      </c>
      <c r="B9">
        <v>0</v>
      </c>
      <c r="C9">
        <v>0</v>
      </c>
      <c r="D9">
        <v>0</v>
      </c>
      <c r="E9">
        <v>4.7749094581129903</v>
      </c>
      <c r="F9">
        <v>146.00520165330499</v>
      </c>
      <c r="G9">
        <v>83.537457344061906</v>
      </c>
      <c r="H9">
        <v>43.919944321315697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158.31177883263601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0</v>
      </c>
      <c r="C10">
        <v>0</v>
      </c>
      <c r="D10">
        <v>0</v>
      </c>
      <c r="E10">
        <v>18.254976763900402</v>
      </c>
      <c r="F10">
        <v>0</v>
      </c>
      <c r="G10">
        <v>75.029636208187199</v>
      </c>
      <c r="H10">
        <v>18.552905727909899</v>
      </c>
      <c r="I10">
        <v>0</v>
      </c>
      <c r="J10">
        <v>0</v>
      </c>
      <c r="K10">
        <v>6.10096695598404</v>
      </c>
      <c r="L10">
        <v>0.44200832092481701</v>
      </c>
      <c r="M10">
        <v>0.42049386123805099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4.4855734559194103</v>
      </c>
      <c r="K11">
        <v>0</v>
      </c>
      <c r="L11">
        <v>3.3078256186105199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1.0133103636831799</v>
      </c>
      <c r="L12">
        <v>0</v>
      </c>
      <c r="M12">
        <v>0.52896538794853498</v>
      </c>
      <c r="N12">
        <v>1.1726654393890901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0</v>
      </c>
      <c r="C13">
        <v>0</v>
      </c>
      <c r="D13">
        <v>0</v>
      </c>
      <c r="E13">
        <v>2.7994397487867699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2.0450820473488598</v>
      </c>
      <c r="M13">
        <v>0</v>
      </c>
      <c r="N13">
        <v>3.6299349779170198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1.29608579320669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0</v>
      </c>
      <c r="C15">
        <v>138.935041810489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0.92222748969980095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0</v>
      </c>
      <c r="B16">
        <v>0</v>
      </c>
      <c r="C16">
        <v>1.7670001432446301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241.107653094451</v>
      </c>
      <c r="G17">
        <v>0</v>
      </c>
      <c r="H17">
        <v>0</v>
      </c>
      <c r="I17">
        <v>388.84524510997602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1.68232465496103</v>
      </c>
      <c r="S17">
        <v>66.472511677564697</v>
      </c>
      <c r="T17">
        <v>0</v>
      </c>
    </row>
    <row r="18" spans="1:2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4.7548132673799003E-2</v>
      </c>
      <c r="R18">
        <v>0</v>
      </c>
      <c r="S18">
        <v>3.0828904631400298</v>
      </c>
      <c r="T18">
        <v>53.743703019292802</v>
      </c>
    </row>
    <row r="19" spans="1:2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53.543094926618203</v>
      </c>
      <c r="S20">
        <v>25.457079104961601</v>
      </c>
      <c r="T2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EnergyInequality</vt:lpstr>
      <vt:lpstr>Pressure</vt:lpstr>
      <vt:lpstr>EnergyExchange-R</vt:lpstr>
      <vt:lpstr>EnergyExchange-R40</vt:lpstr>
      <vt:lpstr>EnergyExchange-R30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JIANGHOU</dc:creator>
  <cp:lastModifiedBy>User</cp:lastModifiedBy>
  <dcterms:created xsi:type="dcterms:W3CDTF">2023-05-12T11:15:00Z</dcterms:created>
  <dcterms:modified xsi:type="dcterms:W3CDTF">2024-12-15T07:50:42Z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2052-0.0.0.0</vt:lpwstr>
  </property>
</Properties>
</file>